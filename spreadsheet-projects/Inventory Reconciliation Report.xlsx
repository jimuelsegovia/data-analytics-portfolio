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rent_Inventory" sheetId="1" r:id="rId5"/>
    <sheet state="visible" name="Sales_History" sheetId="2" r:id="rId6"/>
    <sheet state="visible" name="Reconciliation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<sst xmlns="http://schemas.openxmlformats.org/spreadsheetml/2006/main" count="28" uniqueCount="23">
  <si>
    <t>product_id</t>
  </si>
  <si>
    <t>product_name</t>
  </si>
  <si>
    <t>starting_stock</t>
  </si>
  <si>
    <t>current_stock_counted</t>
  </si>
  <si>
    <t>Laptop</t>
  </si>
  <si>
    <t>Phone</t>
  </si>
  <si>
    <t>Tablet</t>
  </si>
  <si>
    <t>Desk</t>
  </si>
  <si>
    <t>Chair</t>
  </si>
  <si>
    <t>Monitor</t>
  </si>
  <si>
    <t>sale_id</t>
  </si>
  <si>
    <t>quantity_sold</t>
  </si>
  <si>
    <t>sale_date</t>
  </si>
  <si>
    <t>SUM of quantity_sold</t>
  </si>
  <si>
    <t>expected_stock</t>
  </si>
  <si>
    <t>discrepancy</t>
  </si>
  <si>
    <t>status</t>
  </si>
  <si>
    <t>Grand Total</t>
  </si>
  <si>
    <t>SUMMARY: Out of 6 products, 4 reconciled perfectly.</t>
  </si>
  <si>
    <t>Desk shows a shortage of 2 units — recommend investigating</t>
  </si>
  <si>
    <t>for theft, damage, or unrecorded sales. Monitor shows a</t>
  </si>
  <si>
    <t>surplus of 3 units — recommend checking for returns or</t>
  </si>
  <si>
    <t>counting errors during the last stock take.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</si>
</sst>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2"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Inventory Discrepancies by Product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Reconciliation!$H$1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Reconciliation!$D$2:$D$7</c:f>
            </c:strRef>
          </c:cat>
          <c:val>
            <c:numRef>
              <c:f>Reconciliation!$H$2:$H$7</c:f>
              <c:numCache/>
            </c:numRef>
          </c:val>
        </c:ser>
        <c:axId val="942547344"/>
        <c:axId val="1002367949"/>
      </c:barChart>
      <c:catAx>
        <c:axId val="9425473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2367949"/>
      </c:catAx>
      <c:valAx>
        <c:axId val="10023679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25473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152400</xdr:colOff>
      <xdr:row>8</xdr:row>
      <xdr:rowOff>47625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17" sheet="Sales_History"/>
  </cacheSource>
  <cacheFields>
    <cacheField name="sale_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</sharedItems>
    </cacheField>
    <cacheField name="product_id" numFmtId="0">
      <sharedItems containsSemiMixedTypes="0" containsString="0" containsNumber="1" containsInteger="1">
        <n v="201.0"/>
        <n v="202.0"/>
        <n v="203.0"/>
        <n v="204.0"/>
        <n v="205.0"/>
        <n v="206.0"/>
      </sharedItems>
    </cacheField>
    <cacheField name="quantity_sold" numFmtId="0">
      <sharedItems containsSemiMixedTypes="0" containsString="0" containsNumber="1" containsInteger="1">
        <n v="5.0"/>
        <n v="10.0"/>
        <n v="8.0"/>
        <n v="7.0"/>
        <n v="2.0"/>
        <n v="6.0"/>
        <n v="12.0"/>
        <n v="4.0"/>
        <n v="3.0"/>
        <n v="9.0"/>
      </sharedItems>
    </cacheField>
    <cacheField name="sale_date" numFmtId="164">
      <sharedItems containsSemiMixedTypes="0" containsDate="1" containsString="0">
        <d v="2026-02-01T00:00:00Z"/>
        <d v="2026-02-02T00:00:00Z"/>
        <d v="2026-02-03T00:00:00Z"/>
        <d v="2026-02-04T00:00:00Z"/>
        <d v="2026-02-05T00:00:00Z"/>
        <d v="2026-02-06T00:00:00Z"/>
        <d v="2026-02-07T00:00:00Z"/>
        <d v="2026-02-08T00:00:00Z"/>
        <d v="2026-02-09T00:00:00Z"/>
        <d v="2026-02-10T00:00:00Z"/>
        <d v="2026-02-11T00:00:00Z"/>
        <d v="2026-02-12T00:00:00Z"/>
        <d v="2026-02-13T00:00:00Z"/>
        <d v="2026-02-14T00:00:00Z"/>
        <d v="2026-02-15T00:00:00Z"/>
        <d v="2026-02-16T00:00:00Z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conciliation" cacheId="0" dataCaption="" compact="0" compactData="0">
  <location ref="A1:B8" firstHeaderRow="0" firstDataRow="1" firstDataCol="0"/>
  <pivotFields>
    <pivotField name="sal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roduct_id" axis="axisRow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quantity_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ale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</pivotFields>
  <rowFields>
    <field x="1"/>
  </rowFields>
  <dataFields>
    <dataField name="SUM of quantity_sold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6.75"/>
    <col customWidth="1" min="4" max="4" width="1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201.0</v>
      </c>
      <c r="B2" s="2" t="s">
        <v>4</v>
      </c>
      <c r="C2" s="2">
        <v>50.0</v>
      </c>
      <c r="D2" s="2">
        <v>28.0</v>
      </c>
    </row>
    <row r="3">
      <c r="A3" s="2">
        <v>202.0</v>
      </c>
      <c r="B3" s="2" t="s">
        <v>5</v>
      </c>
      <c r="C3" s="2">
        <v>80.0</v>
      </c>
      <c r="D3" s="2">
        <v>45.0</v>
      </c>
    </row>
    <row r="4">
      <c r="A4" s="2">
        <v>203.0</v>
      </c>
      <c r="B4" s="2" t="s">
        <v>6</v>
      </c>
      <c r="C4" s="2">
        <v>60.0</v>
      </c>
      <c r="D4" s="2">
        <v>38.0</v>
      </c>
    </row>
    <row r="5">
      <c r="A5" s="2">
        <v>204.0</v>
      </c>
      <c r="B5" s="2" t="s">
        <v>7</v>
      </c>
      <c r="C5" s="2">
        <v>40.0</v>
      </c>
      <c r="D5" s="2">
        <v>36.0</v>
      </c>
    </row>
    <row r="6">
      <c r="A6" s="2">
        <v>205.0</v>
      </c>
      <c r="B6" s="2" t="s">
        <v>8</v>
      </c>
      <c r="C6" s="2">
        <v>70.0</v>
      </c>
      <c r="D6" s="2">
        <v>55.0</v>
      </c>
    </row>
    <row r="7">
      <c r="A7" s="2">
        <v>206.0</v>
      </c>
      <c r="B7" s="2" t="s">
        <v>9</v>
      </c>
      <c r="C7" s="2">
        <v>30.0</v>
      </c>
      <c r="D7" s="2">
        <v>30.0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</v>
      </c>
      <c r="B1" s="1" t="s">
        <v>0</v>
      </c>
      <c r="C1" s="1" t="s">
        <v>11</v>
      </c>
      <c r="D1" s="1" t="s">
        <v>12</v>
      </c>
    </row>
    <row r="2">
      <c r="A2" s="2">
        <v>1.0</v>
      </c>
      <c r="B2" s="2">
        <v>201.0</v>
      </c>
      <c r="C2" s="2">
        <v>5.0</v>
      </c>
      <c r="D2" s="3">
        <v>46054.0</v>
      </c>
    </row>
    <row r="3">
      <c r="A3" s="2">
        <v>2.0</v>
      </c>
      <c r="B3" s="2">
        <v>202.0</v>
      </c>
      <c r="C3" s="2">
        <v>10.0</v>
      </c>
      <c r="D3" s="3">
        <v>46055.0</v>
      </c>
    </row>
    <row r="4">
      <c r="A4" s="2">
        <v>3.0</v>
      </c>
      <c r="B4" s="2">
        <v>203.0</v>
      </c>
      <c r="C4" s="2">
        <v>8.0</v>
      </c>
      <c r="D4" s="3">
        <v>46056.0</v>
      </c>
    </row>
    <row r="5">
      <c r="A5" s="2">
        <v>4.0</v>
      </c>
      <c r="B5" s="2">
        <v>201.0</v>
      </c>
      <c r="C5" s="2">
        <v>7.0</v>
      </c>
      <c r="D5" s="3">
        <v>46057.0</v>
      </c>
    </row>
    <row r="6">
      <c r="A6" s="2">
        <v>5.0</v>
      </c>
      <c r="B6" s="2">
        <v>204.0</v>
      </c>
      <c r="C6" s="2">
        <v>2.0</v>
      </c>
      <c r="D6" s="3">
        <v>46058.0</v>
      </c>
    </row>
    <row r="7">
      <c r="A7" s="2">
        <v>6.0</v>
      </c>
      <c r="B7" s="2">
        <v>205.0</v>
      </c>
      <c r="C7" s="2">
        <v>6.0</v>
      </c>
      <c r="D7" s="3">
        <v>46059.0</v>
      </c>
    </row>
    <row r="8">
      <c r="A8" s="2">
        <v>7.0</v>
      </c>
      <c r="B8" s="2">
        <v>202.0</v>
      </c>
      <c r="C8" s="2">
        <v>12.0</v>
      </c>
      <c r="D8" s="3">
        <v>46060.0</v>
      </c>
    </row>
    <row r="9">
      <c r="A9" s="2">
        <v>8.0</v>
      </c>
      <c r="B9" s="2">
        <v>203.0</v>
      </c>
      <c r="C9" s="2">
        <v>5.0</v>
      </c>
      <c r="D9" s="3">
        <v>46061.0</v>
      </c>
    </row>
    <row r="10">
      <c r="A10" s="2">
        <v>9.0</v>
      </c>
      <c r="B10" s="2">
        <v>201.0</v>
      </c>
      <c r="C10" s="2">
        <v>6.0</v>
      </c>
      <c r="D10" s="3">
        <v>46062.0</v>
      </c>
    </row>
    <row r="11">
      <c r="A11" s="2">
        <v>10.0</v>
      </c>
      <c r="B11" s="2">
        <v>205.0</v>
      </c>
      <c r="C11" s="2">
        <v>4.0</v>
      </c>
      <c r="D11" s="3">
        <v>46063.0</v>
      </c>
    </row>
    <row r="12">
      <c r="A12" s="2">
        <v>11.0</v>
      </c>
      <c r="B12" s="2">
        <v>202.0</v>
      </c>
      <c r="C12" s="2">
        <v>8.0</v>
      </c>
      <c r="D12" s="3">
        <v>46064.0</v>
      </c>
    </row>
    <row r="13">
      <c r="A13" s="2">
        <v>12.0</v>
      </c>
      <c r="B13" s="2">
        <v>206.0</v>
      </c>
      <c r="C13" s="2">
        <v>3.0</v>
      </c>
      <c r="D13" s="3">
        <v>46065.0</v>
      </c>
    </row>
    <row r="14">
      <c r="A14" s="2">
        <v>13.0</v>
      </c>
      <c r="B14" s="2">
        <v>201.0</v>
      </c>
      <c r="C14" s="2">
        <v>4.0</v>
      </c>
      <c r="D14" s="3">
        <v>46066.0</v>
      </c>
    </row>
    <row r="15">
      <c r="A15" s="2">
        <v>14.0</v>
      </c>
      <c r="B15" s="2">
        <v>203.0</v>
      </c>
      <c r="C15" s="2">
        <v>9.0</v>
      </c>
      <c r="D15" s="3">
        <v>46067.0</v>
      </c>
    </row>
    <row r="16">
      <c r="A16" s="2">
        <v>15.0</v>
      </c>
      <c r="B16" s="2">
        <v>205.0</v>
      </c>
      <c r="C16" s="2">
        <v>5.0</v>
      </c>
      <c r="D16" s="3">
        <v>46068.0</v>
      </c>
    </row>
    <row r="17">
      <c r="A17" s="2">
        <v>16.0</v>
      </c>
      <c r="B17" s="2">
        <v>202.0</v>
      </c>
      <c r="C17" s="2">
        <v>5.0</v>
      </c>
      <c r="D17" s="3">
        <v>46069.0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1.75"/>
    <col customWidth="1" min="6" max="6" width="20.38"/>
  </cols>
  <sheetData>
    <row r="1">
      <c r="D1" s="1" t="s">
        <v>1</v>
      </c>
      <c r="E1" s="1" t="s">
        <v>2</v>
      </c>
      <c r="F1" s="1" t="s">
        <v>3</v>
      </c>
      <c r="G1" s="1" t="s">
        <v>14</v>
      </c>
      <c r="H1" s="1" t="s">
        <v>15</v>
      </c>
      <c r="I1" s="1" t="s">
        <v>16</v>
      </c>
    </row>
    <row r="2">
      <c r="D2" s="5" t="str">
        <f t="array" ref="D2">XLOOKUP(A2, Current_Inventory!A:A, Current_Inventory!B:B)</f>
        <v>Laptop</v>
      </c>
      <c r="E2" s="5">
        <f t="array" ref="E2">XLOOKUP(A2, Current_Inventory!A:A, Current_Inventory!C:C)</f>
        <v>50</v>
      </c>
      <c r="F2" s="5">
        <f t="array" ref="F2">XLOOKUP(A2, Current_Inventory!A:A, Current_Inventory!D:D)</f>
        <v>28</v>
      </c>
      <c r="G2" s="5">
        <f t="shared" ref="G2:G7" si="1"> E2 - B2</f>
        <v>28</v>
      </c>
      <c r="H2" s="5">
        <f t="shared" ref="H2:H7" si="2">F2 - G2</f>
        <v>0</v>
      </c>
      <c r="I2" s="5" t="str">
        <f t="shared" ref="I2:I7" si="3">IF(H2=0, "✅ Match", IF(H2&gt;0, "📦 Surplus", "⚠️ Shortage"))</f>
        <v>✅ Match</v>
      </c>
    </row>
    <row r="3">
      <c r="D3" s="5" t="str">
        <f t="array" ref="D3">XLOOKUP(A3, Current_Inventory!A:A, Current_Inventory!B:B)</f>
        <v>Phone</v>
      </c>
      <c r="E3" s="5">
        <f t="array" ref="E3">XLOOKUP(A3, Current_Inventory!A:A, Current_Inventory!C:C)</f>
        <v>80</v>
      </c>
      <c r="F3" s="5">
        <f t="array" ref="F3">XLOOKUP(A3, Current_Inventory!A:A, Current_Inventory!D:D)</f>
        <v>45</v>
      </c>
      <c r="G3" s="5">
        <f t="shared" si="1"/>
        <v>45</v>
      </c>
      <c r="H3" s="5">
        <f t="shared" si="2"/>
        <v>0</v>
      </c>
      <c r="I3" s="5" t="str">
        <f t="shared" si="3"/>
        <v>✅ Match</v>
      </c>
    </row>
    <row r="4">
      <c r="D4" s="5" t="str">
        <f t="array" ref="D4">XLOOKUP(A4, Current_Inventory!A:A, Current_Inventory!B:B)</f>
        <v>Tablet</v>
      </c>
      <c r="E4" s="5">
        <f t="array" ref="E4">XLOOKUP(A4, Current_Inventory!A:A, Current_Inventory!C:C)</f>
        <v>60</v>
      </c>
      <c r="F4" s="5">
        <f t="array" ref="F4">XLOOKUP(A4, Current_Inventory!A:A, Current_Inventory!D:D)</f>
        <v>38</v>
      </c>
      <c r="G4" s="5">
        <f t="shared" si="1"/>
        <v>38</v>
      </c>
      <c r="H4" s="5">
        <f t="shared" si="2"/>
        <v>0</v>
      </c>
      <c r="I4" s="5" t="str">
        <f t="shared" si="3"/>
        <v>✅ Match</v>
      </c>
    </row>
    <row r="5">
      <c r="D5" s="5" t="str">
        <f t="array" ref="D5">XLOOKUP(A5, Current_Inventory!A:A, Current_Inventory!B:B)</f>
        <v>Desk</v>
      </c>
      <c r="E5" s="5">
        <f t="array" ref="E5">XLOOKUP(A5, Current_Inventory!A:A, Current_Inventory!C:C)</f>
        <v>40</v>
      </c>
      <c r="F5" s="5">
        <f t="array" ref="F5">XLOOKUP(A5, Current_Inventory!A:A, Current_Inventory!D:D)</f>
        <v>36</v>
      </c>
      <c r="G5" s="5">
        <f t="shared" si="1"/>
        <v>38</v>
      </c>
      <c r="H5" s="5">
        <f t="shared" si="2"/>
        <v>-2</v>
      </c>
      <c r="I5" s="5" t="str">
        <f t="shared" si="3"/>
        <v>⚠️ Shortage</v>
      </c>
    </row>
    <row r="6">
      <c r="D6" s="5" t="str">
        <f t="array" ref="D6">XLOOKUP(A6, Current_Inventory!A:A, Current_Inventory!B:B)</f>
        <v>Chair</v>
      </c>
      <c r="E6" s="5">
        <f t="array" ref="E6">XLOOKUP(A6, Current_Inventory!A:A, Current_Inventory!C:C)</f>
        <v>70</v>
      </c>
      <c r="F6" s="5">
        <f t="array" ref="F6">XLOOKUP(A6, Current_Inventory!A:A, Current_Inventory!D:D)</f>
        <v>55</v>
      </c>
      <c r="G6" s="5">
        <f t="shared" si="1"/>
        <v>55</v>
      </c>
      <c r="H6" s="5">
        <f t="shared" si="2"/>
        <v>0</v>
      </c>
      <c r="I6" s="5" t="str">
        <f t="shared" si="3"/>
        <v>✅ Match</v>
      </c>
    </row>
    <row r="7">
      <c r="D7" s="5" t="str">
        <f t="array" ref="D7">XLOOKUP(A7, Current_Inventory!A:A, Current_Inventory!B:B)</f>
        <v>Monitor</v>
      </c>
      <c r="E7" s="5">
        <f t="array" ref="E7">XLOOKUP(A7, Current_Inventory!A:A, Current_Inventory!C:C)</f>
        <v>30</v>
      </c>
      <c r="F7" s="5">
        <f t="array" ref="F7">XLOOKUP(A7, Current_Inventory!A:A, Current_Inventory!D:D)</f>
        <v>30</v>
      </c>
      <c r="G7" s="5">
        <f t="shared" si="1"/>
        <v>27</v>
      </c>
      <c r="H7" s="5">
        <f t="shared" si="2"/>
        <v>3</v>
      </c>
      <c r="I7" s="5" t="str">
        <f t="shared" si="3"/>
        <v>📦 Surplus</v>
      </c>
    </row>
    <row r="8">
      <c r="D8" s="5"/>
      <c r="E8" s="5"/>
      <c r="F8" s="5"/>
      <c r="G8" s="5"/>
    </row>
    <row r="28">
      <c r="D28" s="6" t="s">
        <v>18</v>
      </c>
    </row>
    <row r="29">
      <c r="D29" s="6" t="s">
        <v>19</v>
      </c>
    </row>
    <row r="30">
      <c r="D30" s="6" t="s">
        <v>20</v>
      </c>
    </row>
    <row r="31">
      <c r="D31" s="6" t="s">
        <v>21</v>
      </c>
    </row>
    <row r="32">
      <c r="D32" s="6" t="s">
        <v>22</v>
      </c>
    </row>
  </sheetData>
  <conditionalFormatting sqref="I1:I1000">
    <cfRule type="containsText" dxfId="0" priority="1" operator="containsText" text="Shortage">
      <formula>NOT(ISERROR(SEARCH(("Shortage"),(I1))))</formula>
    </cfRule>
  </conditionalFormatting>
  <conditionalFormatting sqref="I1:I1000">
    <cfRule type="containsText" dxfId="1" priority="2" operator="containsText" text="Surplus">
      <formula>NOT(ISERROR(SEARCH(("Surplus"),(I1))))</formula>
    </cfRule>
  </conditionalFormatting>
  <drawing r:id="rId2"/>
</worksheet>
</file>